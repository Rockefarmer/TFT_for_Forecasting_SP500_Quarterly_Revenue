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Engineering\Thesis Research\Forecast Quarterly Performance\thesis_project\results\"/>
    </mc:Choice>
  </mc:AlternateContent>
  <xr:revisionPtr revIDLastSave="0" documentId="13_ncr:1_{0E9B58BF-7C48-45AB-A3BB-61E2F1939966}" xr6:coauthVersionLast="47" xr6:coauthVersionMax="47" xr10:uidLastSave="{00000000-0000-0000-0000-000000000000}"/>
  <bookViews>
    <workbookView xWindow="-108" yWindow="-108" windowWidth="23256" windowHeight="13896" activeTab="1" xr2:uid="{AA7D9FF7-F9A1-4061-8AAA-AB7453723711}"/>
  </bookViews>
  <sheets>
    <sheet name="Overall" sheetId="1" r:id="rId1"/>
    <sheet name="Sector_wise" sheetId="3" r:id="rId2"/>
    <sheet name="TFT_O" sheetId="4" r:id="rId3"/>
    <sheet name="TFT_S" sheetId="5" r:id="rId4"/>
    <sheet name="LSTM_O" sheetId="6" r:id="rId5"/>
    <sheet name="LSTM_S" sheetId="7" r:id="rId6"/>
    <sheet name="SARIMA_O" sheetId="8" r:id="rId7"/>
    <sheet name="SARIMA_S" sheetId="9" r:id="rId8"/>
    <sheet name="ARIMA_O" sheetId="10" r:id="rId9"/>
    <sheet name="ARIMA_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C5" i="4"/>
  <c r="B5" i="4"/>
  <c r="C12" i="7"/>
  <c r="C11" i="7"/>
  <c r="C10" i="7"/>
  <c r="C9" i="7"/>
  <c r="C8" i="7"/>
  <c r="C7" i="7"/>
  <c r="C6" i="7"/>
  <c r="C5" i="7"/>
  <c r="C4" i="7"/>
  <c r="C3" i="7"/>
  <c r="C2" i="7"/>
  <c r="B5" i="6"/>
  <c r="E6" i="1"/>
</calcChain>
</file>

<file path=xl/sharedStrings.xml><?xml version="1.0" encoding="utf-8"?>
<sst xmlns="http://schemas.openxmlformats.org/spreadsheetml/2006/main" count="161" uniqueCount="62">
  <si>
    <t>mean</t>
  </si>
  <si>
    <t>std</t>
  </si>
  <si>
    <t>RMSE</t>
  </si>
  <si>
    <t>MAE</t>
  </si>
  <si>
    <t>MAPE(%)</t>
  </si>
  <si>
    <t>Accuracy (%)</t>
  </si>
  <si>
    <t>Accuracy(%)</t>
  </si>
  <si>
    <t>Sector</t>
  </si>
  <si>
    <t>Communication Services</t>
  </si>
  <si>
    <t>Consumer Discretionary</t>
  </si>
  <si>
    <t>Consumer Staples</t>
  </si>
  <si>
    <t>Energy</t>
  </si>
  <si>
    <t xml:space="preserve">Financial </t>
  </si>
  <si>
    <t>Healthcare</t>
  </si>
  <si>
    <t>Industrials</t>
  </si>
  <si>
    <t>Information Technology</t>
  </si>
  <si>
    <t>Materials</t>
  </si>
  <si>
    <t>Real Estate</t>
  </si>
  <si>
    <t>Utilities</t>
  </si>
  <si>
    <t>TFT</t>
  </si>
  <si>
    <t>LSTM</t>
  </si>
  <si>
    <t>MAPE (%)</t>
  </si>
  <si>
    <t>Order</t>
  </si>
  <si>
    <t>Mean(μ)</t>
  </si>
  <si>
    <t>Std. Dev.(σ)</t>
  </si>
  <si>
    <t>(1,1,1)</t>
  </si>
  <si>
    <t>(4,1,3)</t>
  </si>
  <si>
    <t>(3,1,3)</t>
  </si>
  <si>
    <t>(3,1,2)</t>
  </si>
  <si>
    <t>(2,1,2)</t>
  </si>
  <si>
    <t>(4,1,4)</t>
  </si>
  <si>
    <t>(5,1,3)</t>
  </si>
  <si>
    <t>(3,2,3)</t>
  </si>
  <si>
    <t>(3,0,3)</t>
  </si>
  <si>
    <t>(1,0,1)</t>
  </si>
  <si>
    <t>(2,0,2)</t>
  </si>
  <si>
    <t>MAPE (%)_mean</t>
  </si>
  <si>
    <t>MAPE (%)_std</t>
  </si>
  <si>
    <t>Accuracy (%)_mean</t>
  </si>
  <si>
    <t>for order (1,1,1)</t>
  </si>
  <si>
    <t>(3,1,2)(0,0,1,4)</t>
  </si>
  <si>
    <t>(3,1,3)(0,0,1,4)</t>
  </si>
  <si>
    <t>(3,1,2)(0,0,0,4)</t>
  </si>
  <si>
    <t>(2,1,2)(0,0,0,4)</t>
  </si>
  <si>
    <t>(2,1,2)(0,0,1,4)</t>
  </si>
  <si>
    <t>(3,1,3)(0,0,0,4)</t>
  </si>
  <si>
    <t>(2,1,2)(0,1,1,4)</t>
  </si>
  <si>
    <t>(2,1,2)(1,0,0,4)</t>
  </si>
  <si>
    <t>(3,1,3)(0,1,1,4)</t>
  </si>
  <si>
    <t>(2,1,2)(1,1,1,4)</t>
  </si>
  <si>
    <t>(4,1,3)(0,1,0,4)</t>
  </si>
  <si>
    <t>(3,1,2)(0,1,0,4)</t>
  </si>
  <si>
    <t>(3,1,2)(0,0,1,4)-sector</t>
  </si>
  <si>
    <t>MAPE (%) mean</t>
  </si>
  <si>
    <t>metric</t>
  </si>
  <si>
    <t>Mean</t>
  </si>
  <si>
    <t>Standard Dev</t>
  </si>
  <si>
    <t>SARIMA(3,1,2)(0,0,1,4)</t>
  </si>
  <si>
    <t>ARIMA(1,1,1)</t>
  </si>
  <si>
    <t>mean (%)</t>
  </si>
  <si>
    <t>ARIMA (1,1,1)</t>
  </si>
  <si>
    <t>SARIMA (3,1,2)(0,0,1,4)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</si>
</sst>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551F-F7BC-46CD-B7A7-2269B93DD271}">
  <dimension ref="A1:K18"/>
  <sheetViews>
    <sheetView workbookViewId="0">
      <selection sqref="A1:F6"/>
    </sheetView>
  </sheetViews>
  <sheetFormatPr defaultRowHeight="14.4"/>
  <cols>
    <col min="1" max="1" width="19.88671875" customWidth="1"/>
    <col min="2" max="3" width="11" customWidth="1"/>
    <col min="4" max="4" width="12.109375" customWidth="1"/>
    <col min="5" max="5" width="14.109375" customWidth="1"/>
  </cols>
  <sheetData>
    <row r="1" spans="1:8">
      <c r="B1" s="3" t="s">
        <v>2</v>
      </c>
      <c r="C1" s="3" t="s">
        <v>3</v>
      </c>
      <c r="D1" s="3" t="s">
        <v>4</v>
      </c>
      <c r="E1" s="3" t="s">
        <v>5</v>
      </c>
      <c r="F1" s="3"/>
    </row>
    <row r="2" spans="1:8">
      <c r="B2" s="3" t="s">
        <v>0</v>
      </c>
      <c r="C2" s="3" t="s">
        <v>0</v>
      </c>
      <c r="D2" s="3" t="s">
        <v>0</v>
      </c>
      <c r="E2" s="3" t="s">
        <v>0</v>
      </c>
      <c r="F2" s="3" t="s">
        <v>1</v>
      </c>
    </row>
    <row r="3" spans="1:8">
      <c r="A3" t="s">
        <v>60</v>
      </c>
      <c r="B3" s="2">
        <v>3577.8905263670799</v>
      </c>
      <c r="C3" s="2">
        <v>3109.22505332729</v>
      </c>
      <c r="D3" s="1">
        <v>25.260850641025598</v>
      </c>
      <c r="E3" s="1">
        <v>74.739149358974302</v>
      </c>
      <c r="F3" s="1">
        <v>43.767224703392202</v>
      </c>
    </row>
    <row r="4" spans="1:8">
      <c r="A4" t="s">
        <v>61</v>
      </c>
      <c r="B4" s="2">
        <v>3312.4726196813399</v>
      </c>
      <c r="C4" s="2">
        <v>2801.4123534917999</v>
      </c>
      <c r="D4" s="1">
        <v>23.0118167493813</v>
      </c>
      <c r="E4" s="1">
        <v>76.988183250618704</v>
      </c>
      <c r="F4" s="1">
        <v>13.9967445891188</v>
      </c>
    </row>
    <row r="5" spans="1:8">
      <c r="A5" t="s">
        <v>20</v>
      </c>
      <c r="B5" s="2">
        <v>5186.1833974342399</v>
      </c>
      <c r="C5" s="2">
        <v>5079.26425809174</v>
      </c>
      <c r="D5" s="1">
        <v>28.751482106501701</v>
      </c>
      <c r="E5" s="1">
        <f>100-D5</f>
        <v>71.248517893498303</v>
      </c>
      <c r="F5" s="1">
        <v>20.803610480511502</v>
      </c>
    </row>
    <row r="6" spans="1:8">
      <c r="A6" t="s">
        <v>19</v>
      </c>
      <c r="B6" s="2">
        <v>2823.33198284026</v>
      </c>
      <c r="C6" s="2">
        <v>2616.5872278767201</v>
      </c>
      <c r="D6" s="1">
        <v>11.287563562152799</v>
      </c>
      <c r="E6" s="1">
        <f>100-D6</f>
        <v>88.712436437847202</v>
      </c>
      <c r="F6" s="1">
        <v>8.2628236289467303</v>
      </c>
    </row>
    <row r="14" spans="1:8">
      <c r="C14" s="2"/>
      <c r="E14" s="2"/>
      <c r="G14" s="1"/>
    </row>
    <row r="15" spans="1:8">
      <c r="H15" s="1"/>
    </row>
    <row r="18" spans="7:11">
      <c r="G18" s="2"/>
      <c r="I18" s="2"/>
      <c r="K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F10E-953B-4486-B98D-7E7D7B79C19E}">
  <dimension ref="A1:E28"/>
  <sheetViews>
    <sheetView tabSelected="1" workbookViewId="0">
      <selection activeCell="G26" sqref="G26"/>
    </sheetView>
  </sheetViews>
  <sheetFormatPr defaultRowHeight="14.4"/>
  <cols>
    <col min="1" max="1" width="25.21875" customWidth="1"/>
    <col min="2" max="2" width="13.21875" customWidth="1"/>
    <col min="3" max="3" width="19" customWidth="1"/>
    <col min="4" max="4" width="10.6640625" customWidth="1"/>
    <col min="5" max="5" width="9.5546875" customWidth="1"/>
  </cols>
  <sheetData>
    <row r="1" spans="1:5">
      <c r="B1" s="3" t="s">
        <v>58</v>
      </c>
      <c r="C1" s="3" t="s">
        <v>57</v>
      </c>
      <c r="D1" s="3" t="s">
        <v>20</v>
      </c>
      <c r="E1" s="3" t="s">
        <v>19</v>
      </c>
    </row>
    <row r="2" spans="1:5">
      <c r="B2" s="3" t="s">
        <v>59</v>
      </c>
      <c r="C2" s="3" t="s">
        <v>59</v>
      </c>
      <c r="D2" s="3" t="s">
        <v>59</v>
      </c>
      <c r="E2" s="3" t="s">
        <v>59</v>
      </c>
    </row>
    <row r="3" spans="1:5">
      <c r="A3" t="s">
        <v>14</v>
      </c>
      <c r="B3" s="1">
        <v>79.760718749999995</v>
      </c>
      <c r="C3" s="1">
        <v>81.312457854169693</v>
      </c>
      <c r="D3" s="1">
        <v>73.911195662713908</v>
      </c>
      <c r="E3" s="1">
        <v>92.711112165125101</v>
      </c>
    </row>
    <row r="4" spans="1:5">
      <c r="A4" t="s">
        <v>8</v>
      </c>
      <c r="B4" s="1">
        <v>84.301450000000003</v>
      </c>
      <c r="C4" s="1">
        <v>89.131669922850506</v>
      </c>
      <c r="D4" s="1">
        <v>80.244079589843807</v>
      </c>
      <c r="E4" s="1">
        <v>92.504185158759356</v>
      </c>
    </row>
    <row r="5" spans="1:5">
      <c r="A5" t="s">
        <v>16</v>
      </c>
      <c r="B5" s="1">
        <v>77.830500000000001</v>
      </c>
      <c r="C5" s="1">
        <v>80.872527264797696</v>
      </c>
      <c r="D5" s="1">
        <v>65.361755583021392</v>
      </c>
      <c r="E5" s="1">
        <v>91.151260998513976</v>
      </c>
    </row>
    <row r="6" spans="1:5">
      <c r="A6" t="s">
        <v>9</v>
      </c>
      <c r="B6" s="1">
        <v>73.717258333333305</v>
      </c>
      <c r="C6" s="1">
        <v>76.648552164243199</v>
      </c>
      <c r="D6" s="1">
        <v>79.057540460066406</v>
      </c>
      <c r="E6" s="1">
        <v>90.147578343749075</v>
      </c>
    </row>
    <row r="7" spans="1:5">
      <c r="A7" t="s">
        <v>10</v>
      </c>
      <c r="B7" s="1">
        <v>85.060257894736793</v>
      </c>
      <c r="C7" s="1">
        <v>85.071405602124102</v>
      </c>
      <c r="D7" s="1">
        <v>82.671045027281195</v>
      </c>
      <c r="E7" s="1">
        <v>89.340176805853858</v>
      </c>
    </row>
    <row r="8" spans="1:5">
      <c r="A8" t="s">
        <v>13</v>
      </c>
      <c r="B8" s="1">
        <v>83.127144444444397</v>
      </c>
      <c r="C8" s="1">
        <v>80.485018245410004</v>
      </c>
      <c r="D8" s="1">
        <v>66.073986821704494</v>
      </c>
      <c r="E8" s="1">
        <v>89.026604872196941</v>
      </c>
    </row>
    <row r="9" spans="1:5">
      <c r="A9" t="s">
        <v>18</v>
      </c>
      <c r="B9" s="1">
        <v>79.832624999999993</v>
      </c>
      <c r="C9" s="1">
        <v>81.485116685294898</v>
      </c>
      <c r="D9" s="1">
        <v>79.877197623252897</v>
      </c>
      <c r="E9" s="1">
        <v>88.870337093248992</v>
      </c>
    </row>
    <row r="10" spans="1:5">
      <c r="A10" t="s">
        <v>15</v>
      </c>
      <c r="B10" s="1">
        <v>75.509971428571404</v>
      </c>
      <c r="C10" s="1">
        <v>71.7793186398156</v>
      </c>
      <c r="D10" s="1">
        <v>54.324207850865001</v>
      </c>
      <c r="E10" s="1">
        <v>86.177934599774233</v>
      </c>
    </row>
    <row r="11" spans="1:5">
      <c r="A11" t="s">
        <v>11</v>
      </c>
      <c r="B11" s="1">
        <v>56.005488888888799</v>
      </c>
      <c r="C11" s="1">
        <v>70.0722271413577</v>
      </c>
      <c r="D11" s="1">
        <v>80.8662903904915</v>
      </c>
      <c r="E11" s="1">
        <v>85.342034614748442</v>
      </c>
    </row>
    <row r="12" spans="1:5">
      <c r="A12" t="s">
        <v>17</v>
      </c>
      <c r="B12" s="1">
        <v>86.135599999999997</v>
      </c>
      <c r="C12" s="1">
        <v>78.142819029196701</v>
      </c>
      <c r="D12" s="1">
        <v>-24.779113769530994</v>
      </c>
      <c r="E12" s="1">
        <v>84.260354936122894</v>
      </c>
    </row>
    <row r="13" spans="1:5">
      <c r="A13" t="s">
        <v>12</v>
      </c>
      <c r="B13" s="1">
        <v>52.163490909090903</v>
      </c>
      <c r="C13" s="1">
        <v>73.296655105286803</v>
      </c>
      <c r="D13" s="1">
        <v>64.095645861192196</v>
      </c>
      <c r="E13" s="1">
        <v>82.771509809588878</v>
      </c>
    </row>
    <row r="18" spans="4:4">
      <c r="D18" s="1"/>
    </row>
    <row r="19" spans="4:4">
      <c r="D19" s="1"/>
    </row>
    <row r="20" spans="4:4">
      <c r="D20" s="1"/>
    </row>
    <row r="21" spans="4:4">
      <c r="D21" s="1"/>
    </row>
    <row r="22" spans="4:4">
      <c r="D22" s="1"/>
    </row>
    <row r="23" spans="4:4">
      <c r="D23" s="1"/>
    </row>
    <row r="24" spans="4:4">
      <c r="D24" s="1"/>
    </row>
    <row r="25" spans="4:4">
      <c r="D25" s="1"/>
    </row>
    <row r="26" spans="4:4">
      <c r="D26" s="1"/>
    </row>
    <row r="27" spans="4:4">
      <c r="D27" s="1"/>
    </row>
    <row r="28" spans="4:4">
      <c r="D28" s="1"/>
    </row>
  </sheetData>
  <sortState xmlns:xlrd2="http://schemas.microsoft.com/office/spreadsheetml/2017/richdata2" ref="A3:E13">
    <sortCondition descending="1" ref="E3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B76E-C484-44F3-9EF9-97326AC7CD8C}">
  <dimension ref="A1:C5"/>
  <sheetViews>
    <sheetView workbookViewId="0">
      <selection activeCell="D27" sqref="D27"/>
    </sheetView>
  </sheetViews>
  <sheetFormatPr defaultRowHeight="14.4"/>
  <sheetData>
    <row r="1" spans="1:3">
      <c r="A1" t="s">
        <v>54</v>
      </c>
      <c r="B1" t="s">
        <v>0</v>
      </c>
      <c r="C1" t="s">
        <v>1</v>
      </c>
    </row>
    <row r="2" spans="1:3">
      <c r="A2" t="s">
        <v>2</v>
      </c>
      <c r="B2" s="2">
        <v>2823.33198284026</v>
      </c>
      <c r="C2" s="2">
        <v>6983.1828671543399</v>
      </c>
    </row>
    <row r="3" spans="1:3">
      <c r="A3" t="s">
        <v>3</v>
      </c>
      <c r="B3" s="2">
        <v>2616.5872278767201</v>
      </c>
      <c r="C3" s="2">
        <v>6752.5758037118603</v>
      </c>
    </row>
    <row r="4" spans="1:3">
      <c r="A4" t="s">
        <v>4</v>
      </c>
      <c r="B4" s="1">
        <v>11.287563562152799</v>
      </c>
      <c r="C4" s="1">
        <v>8.2628236289467303</v>
      </c>
    </row>
    <row r="5" spans="1:3">
      <c r="A5" t="s">
        <v>5</v>
      </c>
      <c r="B5" s="1">
        <f>100-B4</f>
        <v>88.712436437847202</v>
      </c>
      <c r="C5" s="1">
        <f>C4</f>
        <v>8.2628236289467303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126C-28EB-4B77-A643-CCC2024473B8}">
  <dimension ref="A1:H13"/>
  <sheetViews>
    <sheetView workbookViewId="0">
      <selection activeCell="J10" sqref="J10"/>
    </sheetView>
  </sheetViews>
  <sheetFormatPr defaultRowHeight="14.4"/>
  <sheetData>
    <row r="1" spans="1:8">
      <c r="B1" t="s">
        <v>2</v>
      </c>
      <c r="D1" t="s">
        <v>3</v>
      </c>
      <c r="F1" t="s">
        <v>4</v>
      </c>
      <c r="H1" t="s">
        <v>6</v>
      </c>
    </row>
    <row r="2" spans="1:8">
      <c r="B2" t="s">
        <v>55</v>
      </c>
      <c r="C2" t="s">
        <v>56</v>
      </c>
      <c r="D2" t="s">
        <v>55</v>
      </c>
      <c r="E2" t="s">
        <v>56</v>
      </c>
      <c r="F2" t="s">
        <v>55</v>
      </c>
      <c r="G2" t="s">
        <v>56</v>
      </c>
      <c r="H2" t="s">
        <v>55</v>
      </c>
    </row>
    <row r="3" spans="1:8">
      <c r="A3" t="s">
        <v>14</v>
      </c>
      <c r="B3" s="2">
        <v>799.67674899101166</v>
      </c>
      <c r="C3" s="2">
        <v>1068.2876630337091</v>
      </c>
      <c r="D3" s="2">
        <v>651.24441289901642</v>
      </c>
      <c r="E3" s="2">
        <v>791.96325070904766</v>
      </c>
      <c r="F3" s="1">
        <v>7.2888878348749007</v>
      </c>
      <c r="G3" s="1">
        <v>4.3088672391664877</v>
      </c>
      <c r="H3" s="1">
        <v>92.711112165125101</v>
      </c>
    </row>
    <row r="4" spans="1:8">
      <c r="A4" t="s">
        <v>8</v>
      </c>
      <c r="B4" s="2">
        <v>1343.7170524597152</v>
      </c>
      <c r="C4" s="2">
        <v>1286.1716814838089</v>
      </c>
      <c r="D4" s="2">
        <v>1198.8234214782683</v>
      </c>
      <c r="E4" s="2">
        <v>1149.9255706674701</v>
      </c>
      <c r="F4" s="1">
        <v>7.4958148412406391</v>
      </c>
      <c r="G4" s="1">
        <v>1.1575122048557509</v>
      </c>
      <c r="H4" s="1">
        <v>92.504185158759356</v>
      </c>
    </row>
    <row r="5" spans="1:8">
      <c r="A5" t="s">
        <v>16</v>
      </c>
      <c r="B5" s="2">
        <v>537.47719573974564</v>
      </c>
      <c r="C5" s="2">
        <v>377.47329387865852</v>
      </c>
      <c r="D5" s="2">
        <v>419.59711880154038</v>
      </c>
      <c r="E5" s="2">
        <v>292.22405780647819</v>
      </c>
      <c r="F5" s="1">
        <v>8.8487390014860203</v>
      </c>
      <c r="G5" s="1">
        <v>6.1898736541966022</v>
      </c>
      <c r="H5" s="1">
        <v>91.151260998513976</v>
      </c>
    </row>
    <row r="6" spans="1:8">
      <c r="A6" t="s">
        <v>9</v>
      </c>
      <c r="B6" s="2">
        <v>1830.6701895973883</v>
      </c>
      <c r="C6" s="2">
        <v>2175.2645623700241</v>
      </c>
      <c r="D6" s="2">
        <v>1538.3227428089479</v>
      </c>
      <c r="E6" s="2">
        <v>1935.0942566842336</v>
      </c>
      <c r="F6" s="1">
        <v>9.8524216562509235</v>
      </c>
      <c r="G6" s="1">
        <v>3.7051581158040183</v>
      </c>
      <c r="H6" s="1">
        <v>90.147578343749075</v>
      </c>
    </row>
    <row r="7" spans="1:8">
      <c r="A7" t="s">
        <v>10</v>
      </c>
      <c r="B7" s="2">
        <v>4831.085612246864</v>
      </c>
      <c r="C7" s="2">
        <v>11089.834460209087</v>
      </c>
      <c r="D7" s="2">
        <v>4451.2880614431278</v>
      </c>
      <c r="E7" s="2">
        <v>10579.624880636753</v>
      </c>
      <c r="F7" s="1">
        <v>10.659823194146137</v>
      </c>
      <c r="G7" s="1">
        <v>9.4240441052646258</v>
      </c>
      <c r="H7" s="1">
        <v>89.340176805853858</v>
      </c>
    </row>
    <row r="8" spans="1:8">
      <c r="A8" t="s">
        <v>13</v>
      </c>
      <c r="B8" s="2">
        <v>4673.0006063249366</v>
      </c>
      <c r="C8" s="2">
        <v>9437.0896066061632</v>
      </c>
      <c r="D8" s="2">
        <v>4486.3883031209298</v>
      </c>
      <c r="E8" s="2">
        <v>9362.824472962322</v>
      </c>
      <c r="F8" s="1">
        <v>10.973395127803062</v>
      </c>
      <c r="G8" s="1">
        <v>8.7032176408129072</v>
      </c>
      <c r="H8" s="1">
        <v>89.026604872196941</v>
      </c>
    </row>
    <row r="9" spans="1:8">
      <c r="A9" t="s">
        <v>18</v>
      </c>
      <c r="B9" s="2">
        <v>475.9870872497554</v>
      </c>
      <c r="C9" s="2">
        <v>215.17129853801106</v>
      </c>
      <c r="D9" s="2">
        <v>405.34598064422568</v>
      </c>
      <c r="E9" s="2">
        <v>190.43958066539125</v>
      </c>
      <c r="F9" s="1">
        <v>11.12966290675101</v>
      </c>
      <c r="G9" s="1">
        <v>5.9812644315833454</v>
      </c>
      <c r="H9" s="1">
        <v>88.870337093248992</v>
      </c>
    </row>
    <row r="10" spans="1:8">
      <c r="A10" t="s">
        <v>15</v>
      </c>
      <c r="B10" s="2">
        <v>5385.7534686497283</v>
      </c>
      <c r="C10" s="2">
        <v>10758.84668094625</v>
      </c>
      <c r="D10" s="2">
        <v>4969.0984268188458</v>
      </c>
      <c r="E10" s="2">
        <v>10089.875627455856</v>
      </c>
      <c r="F10" s="1">
        <v>13.822065400225764</v>
      </c>
      <c r="G10" s="1">
        <v>9.6749154411800991</v>
      </c>
      <c r="H10" s="1">
        <v>86.177934599774233</v>
      </c>
    </row>
    <row r="11" spans="1:8">
      <c r="A11" t="s">
        <v>11</v>
      </c>
      <c r="B11" s="2">
        <v>4144.5525919596357</v>
      </c>
      <c r="C11" s="2">
        <v>8559.6413898802621</v>
      </c>
      <c r="D11" s="2">
        <v>3954.1889275444869</v>
      </c>
      <c r="E11" s="2">
        <v>8515.8394768344951</v>
      </c>
      <c r="F11" s="1">
        <v>14.657965385251552</v>
      </c>
      <c r="G11" s="1">
        <v>9.9073352354492048</v>
      </c>
      <c r="H11" s="1">
        <v>85.342034614748442</v>
      </c>
    </row>
    <row r="12" spans="1:8">
      <c r="A12" t="s">
        <v>17</v>
      </c>
      <c r="B12" s="2">
        <v>301.30978393554602</v>
      </c>
      <c r="C12" s="2"/>
      <c r="D12" s="2">
        <v>280.56188964843699</v>
      </c>
      <c r="E12" s="2"/>
      <c r="F12" s="1">
        <v>15.7396450638771</v>
      </c>
      <c r="G12" s="1"/>
      <c r="H12" s="1">
        <v>84.260354936122894</v>
      </c>
    </row>
    <row r="13" spans="1:8">
      <c r="A13" t="s">
        <v>12</v>
      </c>
      <c r="B13" s="2">
        <v>3870.6365318298335</v>
      </c>
      <c r="C13" s="2">
        <v>7035.6978936604901</v>
      </c>
      <c r="D13" s="2">
        <v>3726.6973934173579</v>
      </c>
      <c r="E13" s="2">
        <v>7010.7045333404285</v>
      </c>
      <c r="F13" s="1">
        <v>17.228490190411129</v>
      </c>
      <c r="G13" s="1">
        <v>10.740077269276551</v>
      </c>
      <c r="H13" s="1">
        <v>82.771509809588878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4F48-618F-46EF-B370-2ED7870A21F1}">
  <dimension ref="A1:C5"/>
  <sheetViews>
    <sheetView workbookViewId="0">
      <selection sqref="A1:C5"/>
    </sheetView>
  </sheetViews>
  <sheetFormatPr defaultRowHeight="14.4"/>
  <sheetData>
    <row r="1" spans="1:3">
      <c r="B1" t="s">
        <v>0</v>
      </c>
      <c r="C1" t="s">
        <v>1</v>
      </c>
    </row>
    <row r="2" spans="1:3">
      <c r="A2" t="s">
        <v>2</v>
      </c>
      <c r="B2" s="2">
        <v>5186.1833974342399</v>
      </c>
      <c r="C2" s="2">
        <v>10714.7162523263</v>
      </c>
    </row>
    <row r="3" spans="1:3">
      <c r="A3" t="s">
        <v>3</v>
      </c>
      <c r="B3" s="2">
        <v>5079.26425809174</v>
      </c>
      <c r="C3" s="2">
        <v>10638.5004914005</v>
      </c>
    </row>
    <row r="4" spans="1:3">
      <c r="A4" t="s">
        <v>4</v>
      </c>
      <c r="B4" s="1">
        <v>28.751482106501701</v>
      </c>
      <c r="C4" s="1">
        <v>20.803610480511502</v>
      </c>
    </row>
    <row r="5" spans="1:3">
      <c r="A5" t="s">
        <v>5</v>
      </c>
      <c r="B5" s="1">
        <f>100-B4</f>
        <v>71.248517893498303</v>
      </c>
      <c r="C5" s="1">
        <v>20.803610480511502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0B40-6F51-49C3-8193-6E2035FD7918}">
  <dimension ref="A1:C12"/>
  <sheetViews>
    <sheetView workbookViewId="0">
      <selection sqref="A1:C12"/>
    </sheetView>
  </sheetViews>
  <sheetFormatPr defaultRowHeight="14.4"/>
  <sheetData>
    <row r="1" spans="1:3">
      <c r="A1" t="s">
        <v>7</v>
      </c>
      <c r="B1" t="s">
        <v>36</v>
      </c>
      <c r="C1" t="s">
        <v>5</v>
      </c>
    </row>
    <row r="2" spans="1:3">
      <c r="A2" t="s">
        <v>8</v>
      </c>
      <c r="B2" s="1">
        <v>19.7559204101562</v>
      </c>
      <c r="C2" s="1">
        <f>100-B2</f>
        <v>80.244079589843807</v>
      </c>
    </row>
    <row r="3" spans="1:3">
      <c r="A3" t="s">
        <v>9</v>
      </c>
      <c r="B3" s="1">
        <v>20.942459539933601</v>
      </c>
      <c r="C3" s="1">
        <f t="shared" ref="C3:C12" si="0">100-B3</f>
        <v>79.057540460066406</v>
      </c>
    </row>
    <row r="4" spans="1:3">
      <c r="A4" t="s">
        <v>10</v>
      </c>
      <c r="B4" s="1">
        <v>17.328954972718801</v>
      </c>
      <c r="C4" s="1">
        <f t="shared" si="0"/>
        <v>82.671045027281195</v>
      </c>
    </row>
    <row r="5" spans="1:3">
      <c r="A5" t="s">
        <v>11</v>
      </c>
      <c r="B5" s="1">
        <v>19.1337096095085</v>
      </c>
      <c r="C5" s="1">
        <f t="shared" si="0"/>
        <v>80.8662903904915</v>
      </c>
    </row>
    <row r="6" spans="1:3">
      <c r="A6" t="s">
        <v>12</v>
      </c>
      <c r="B6" s="1">
        <v>35.904354138807797</v>
      </c>
      <c r="C6" s="1">
        <f t="shared" si="0"/>
        <v>64.095645861192196</v>
      </c>
    </row>
    <row r="7" spans="1:3">
      <c r="A7" t="s">
        <v>13</v>
      </c>
      <c r="B7" s="1">
        <v>33.926013178295499</v>
      </c>
      <c r="C7" s="1">
        <f t="shared" si="0"/>
        <v>66.073986821704494</v>
      </c>
    </row>
    <row r="8" spans="1:3">
      <c r="A8" t="s">
        <v>14</v>
      </c>
      <c r="B8" s="1">
        <v>26.088804337286099</v>
      </c>
      <c r="C8" s="1">
        <f t="shared" si="0"/>
        <v>73.911195662713908</v>
      </c>
    </row>
    <row r="9" spans="1:3">
      <c r="A9" t="s">
        <v>15</v>
      </c>
      <c r="B9" s="1">
        <v>45.675792149134999</v>
      </c>
      <c r="C9" s="1">
        <f t="shared" si="0"/>
        <v>54.324207850865001</v>
      </c>
    </row>
    <row r="10" spans="1:3">
      <c r="A10" t="s">
        <v>16</v>
      </c>
      <c r="B10" s="1">
        <v>34.638244416978601</v>
      </c>
      <c r="C10" s="1">
        <f t="shared" si="0"/>
        <v>65.361755583021392</v>
      </c>
    </row>
    <row r="11" spans="1:3">
      <c r="A11" t="s">
        <v>17</v>
      </c>
      <c r="B11" s="1">
        <v>124.77911376953099</v>
      </c>
      <c r="C11" s="1">
        <f t="shared" si="0"/>
        <v>-24.779113769530994</v>
      </c>
    </row>
    <row r="12" spans="1:3">
      <c r="A12" t="s">
        <v>18</v>
      </c>
      <c r="B12" s="1">
        <v>20.122802376747099</v>
      </c>
      <c r="C12" s="1">
        <f t="shared" si="0"/>
        <v>79.877197623252897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3AE2-F1D7-4CAC-B3D9-E4D177F09CA5}">
  <dimension ref="A1:I14"/>
  <sheetViews>
    <sheetView workbookViewId="0">
      <selection activeCell="B1" sqref="B1:I3"/>
    </sheetView>
  </sheetViews>
  <sheetFormatPr defaultRowHeight="14.4"/>
  <cols>
    <col min="1" max="1" width="19.109375" customWidth="1"/>
    <col min="2" max="2" width="9" bestFit="1" customWidth="1"/>
    <col min="3" max="3" width="9.88671875" bestFit="1" customWidth="1"/>
    <col min="4" max="4" width="9" bestFit="1" customWidth="1"/>
    <col min="5" max="5" width="9.88671875" bestFit="1" customWidth="1"/>
  </cols>
  <sheetData>
    <row r="1" spans="1:9">
      <c r="B1" t="s">
        <v>2</v>
      </c>
      <c r="D1" t="s">
        <v>3</v>
      </c>
      <c r="F1" t="s">
        <v>21</v>
      </c>
      <c r="H1" t="s">
        <v>5</v>
      </c>
    </row>
    <row r="2" spans="1:9">
      <c r="A2" t="s">
        <v>22</v>
      </c>
      <c r="B2" t="s">
        <v>23</v>
      </c>
      <c r="C2" t="s">
        <v>24</v>
      </c>
      <c r="D2" t="s">
        <v>23</v>
      </c>
      <c r="E2" t="s">
        <v>24</v>
      </c>
      <c r="F2" t="s">
        <v>23</v>
      </c>
      <c r="G2" t="s">
        <v>24</v>
      </c>
      <c r="H2" t="s">
        <v>23</v>
      </c>
      <c r="I2" t="s">
        <v>24</v>
      </c>
    </row>
    <row r="3" spans="1:9">
      <c r="A3" t="s">
        <v>40</v>
      </c>
      <c r="B3" s="2">
        <v>3312.4726196813399</v>
      </c>
      <c r="C3" s="2">
        <v>5507.1011683726801</v>
      </c>
      <c r="D3" s="2">
        <v>2801.4123534917999</v>
      </c>
      <c r="E3" s="2">
        <v>4791.3233933708398</v>
      </c>
      <c r="F3" s="1">
        <v>23.0118167493813</v>
      </c>
      <c r="G3" s="1">
        <v>32.174728924747299</v>
      </c>
      <c r="H3" s="1">
        <v>76.988183250618704</v>
      </c>
      <c r="I3" s="1">
        <v>13.9967445891188</v>
      </c>
    </row>
    <row r="4" spans="1:9">
      <c r="A4" t="s">
        <v>41</v>
      </c>
      <c r="B4" s="2">
        <v>3263.4600749056299</v>
      </c>
      <c r="C4" s="2">
        <v>5347.6685951064801</v>
      </c>
      <c r="D4" s="2">
        <v>2765.14315745055</v>
      </c>
      <c r="E4" s="2">
        <v>4638.1150686907404</v>
      </c>
      <c r="F4" s="1">
        <v>23.3172371839409</v>
      </c>
      <c r="G4" s="1">
        <v>35.1217005888278</v>
      </c>
      <c r="H4" s="1">
        <v>76.682762816059096</v>
      </c>
      <c r="I4" s="1">
        <v>13.980524222688301</v>
      </c>
    </row>
    <row r="5" spans="1:9">
      <c r="A5" t="s">
        <v>42</v>
      </c>
      <c r="B5" s="2">
        <v>3482.7823722683502</v>
      </c>
      <c r="C5" s="2">
        <v>5897.6831597427799</v>
      </c>
      <c r="D5" s="2">
        <v>2945.5976162642701</v>
      </c>
      <c r="E5" s="2">
        <v>5083.2388239513502</v>
      </c>
      <c r="F5" s="1">
        <v>23.453794718812802</v>
      </c>
      <c r="G5" s="1">
        <v>32.749758721804803</v>
      </c>
      <c r="H5" s="1">
        <v>76.546205281187198</v>
      </c>
      <c r="I5" s="1">
        <v>13.7635089089466</v>
      </c>
    </row>
    <row r="6" spans="1:9">
      <c r="A6" t="s">
        <v>43</v>
      </c>
      <c r="B6" s="2">
        <v>3514.3275254383202</v>
      </c>
      <c r="C6" s="2">
        <v>6031.8678637114199</v>
      </c>
      <c r="D6" s="2">
        <v>2986.6628163453302</v>
      </c>
      <c r="E6" s="2">
        <v>5246.6031012794901</v>
      </c>
      <c r="F6" s="1">
        <v>23.638074960133899</v>
      </c>
      <c r="G6" s="1">
        <v>32.649804077285602</v>
      </c>
      <c r="H6" s="1">
        <v>76.361925039866094</v>
      </c>
      <c r="I6" s="1">
        <v>13.974893158754099</v>
      </c>
    </row>
    <row r="7" spans="1:9">
      <c r="A7" t="s">
        <v>44</v>
      </c>
      <c r="B7" s="2">
        <v>3669.00805548569</v>
      </c>
      <c r="C7" s="2">
        <v>7770.9238502670296</v>
      </c>
      <c r="D7" s="2">
        <v>3135.4375175741502</v>
      </c>
      <c r="E7" s="2">
        <v>7051.4639327817104</v>
      </c>
      <c r="F7" s="1">
        <v>23.8683575161063</v>
      </c>
      <c r="G7" s="1">
        <v>34.0633107063151</v>
      </c>
      <c r="H7" s="1">
        <v>76.1316424838937</v>
      </c>
      <c r="I7" s="1">
        <v>15.1400180410893</v>
      </c>
    </row>
    <row r="8" spans="1:9">
      <c r="A8" t="s">
        <v>45</v>
      </c>
      <c r="B8" s="2">
        <v>3469.1175462680299</v>
      </c>
      <c r="C8" s="2">
        <v>5797.3504018265903</v>
      </c>
      <c r="D8" s="2">
        <v>2938.73350349988</v>
      </c>
      <c r="E8" s="2">
        <v>4973.9012793519796</v>
      </c>
      <c r="F8" s="1">
        <v>23.981346279068401</v>
      </c>
      <c r="G8" s="1">
        <v>33.734591954924099</v>
      </c>
      <c r="H8" s="1">
        <v>76.018653720931596</v>
      </c>
      <c r="I8" s="1">
        <v>14.837756397618699</v>
      </c>
    </row>
    <row r="9" spans="1:9">
      <c r="A9" t="s">
        <v>46</v>
      </c>
      <c r="B9" s="2">
        <v>3089.7209070897202</v>
      </c>
      <c r="C9" s="2">
        <v>5742.2824075394101</v>
      </c>
      <c r="D9" s="2">
        <v>2541.8690334366202</v>
      </c>
      <c r="E9" s="2">
        <v>4354.6027322324599</v>
      </c>
      <c r="F9" s="1">
        <v>24.392882976278202</v>
      </c>
      <c r="G9" s="1">
        <v>38.060360974016</v>
      </c>
      <c r="H9" s="1">
        <v>75.607117023721798</v>
      </c>
      <c r="I9" s="1">
        <v>17.209520275723499</v>
      </c>
    </row>
    <row r="10" spans="1:9">
      <c r="A10" t="s">
        <v>47</v>
      </c>
      <c r="B10" s="2">
        <v>4332.4351445756802</v>
      </c>
      <c r="C10" s="2">
        <v>17927.895745956801</v>
      </c>
      <c r="D10" s="2">
        <v>3568.7216793590201</v>
      </c>
      <c r="E10" s="2">
        <v>14421.8691735947</v>
      </c>
      <c r="F10" s="1">
        <v>24.705495211798699</v>
      </c>
      <c r="G10" s="1">
        <v>41.108757495400504</v>
      </c>
      <c r="H10" s="1">
        <v>75.294504788201294</v>
      </c>
      <c r="I10" s="1">
        <v>15.352716537521401</v>
      </c>
    </row>
    <row r="11" spans="1:9">
      <c r="A11" t="s">
        <v>48</v>
      </c>
      <c r="B11" s="2">
        <v>3273.2539893594098</v>
      </c>
      <c r="C11" s="2">
        <v>5789.0507747444399</v>
      </c>
      <c r="D11" s="2">
        <v>2670.7335527677401</v>
      </c>
      <c r="E11" s="2">
        <v>4473.8511932308302</v>
      </c>
      <c r="F11" s="1">
        <v>27.177837761197601</v>
      </c>
      <c r="G11" s="1">
        <v>47.835665742858502</v>
      </c>
      <c r="H11" s="1">
        <v>72.822162238802406</v>
      </c>
      <c r="I11" s="1">
        <v>19.9842361612167</v>
      </c>
    </row>
    <row r="12" spans="1:9">
      <c r="A12" t="s">
        <v>49</v>
      </c>
      <c r="B12" s="2">
        <v>4065.10849688294</v>
      </c>
      <c r="C12" s="2">
        <v>11874.5339864917</v>
      </c>
      <c r="D12" s="2">
        <v>3199.6188893487401</v>
      </c>
      <c r="E12" s="2">
        <v>8204.5162381807004</v>
      </c>
      <c r="F12" s="1">
        <v>30.307059579379501</v>
      </c>
      <c r="G12" s="1">
        <v>86.961436285263403</v>
      </c>
      <c r="H12" s="1">
        <v>69.692940420620502</v>
      </c>
      <c r="I12" s="1">
        <v>18.4926737431079</v>
      </c>
    </row>
    <row r="13" spans="1:9">
      <c r="A13" t="s">
        <v>50</v>
      </c>
      <c r="B13" s="2">
        <v>4275.0777932138999</v>
      </c>
      <c r="C13" s="2">
        <v>12732.055656479501</v>
      </c>
      <c r="D13" s="2">
        <v>3290.6891749135998</v>
      </c>
      <c r="E13" s="2">
        <v>8461.8860502041607</v>
      </c>
      <c r="F13" s="1">
        <v>33.955178533221698</v>
      </c>
      <c r="G13" s="1">
        <v>92.511193766794193</v>
      </c>
      <c r="H13" s="1">
        <v>66.044821466778302</v>
      </c>
      <c r="I13" s="1">
        <v>20.764641315127999</v>
      </c>
    </row>
    <row r="14" spans="1:9">
      <c r="A14" t="s">
        <v>51</v>
      </c>
      <c r="B14" s="2">
        <v>7347.9698047816901</v>
      </c>
      <c r="C14" s="2">
        <v>38013.501687323696</v>
      </c>
      <c r="D14" s="2">
        <v>5277.9664925245197</v>
      </c>
      <c r="E14" s="2">
        <v>24437.103668279</v>
      </c>
      <c r="F14" s="1">
        <v>35.806143831482203</v>
      </c>
      <c r="G14" s="1">
        <v>80.916266396101307</v>
      </c>
      <c r="H14" s="1">
        <v>64.193856168517797</v>
      </c>
      <c r="I14" s="1">
        <v>22.766257615417398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D667-B9E1-4834-9B30-7A718FF848A6}">
  <dimension ref="A1:C13"/>
  <sheetViews>
    <sheetView workbookViewId="0">
      <selection activeCell="A2" sqref="A2:C13"/>
    </sheetView>
  </sheetViews>
  <sheetFormatPr defaultRowHeight="14.4"/>
  <cols>
    <col min="1" max="1" width="25.21875" customWidth="1"/>
  </cols>
  <sheetData>
    <row r="1" spans="1:3">
      <c r="A1" t="s">
        <v>52</v>
      </c>
    </row>
    <row r="2" spans="1:3">
      <c r="A2" t="s">
        <v>7</v>
      </c>
      <c r="B2" t="s">
        <v>53</v>
      </c>
      <c r="C2" t="s">
        <v>5</v>
      </c>
    </row>
    <row r="3" spans="1:3">
      <c r="A3" t="s">
        <v>8</v>
      </c>
      <c r="B3" s="1">
        <v>10.8683300771494</v>
      </c>
      <c r="C3" s="1">
        <v>89.131669922850506</v>
      </c>
    </row>
    <row r="4" spans="1:3">
      <c r="A4" t="s">
        <v>10</v>
      </c>
      <c r="B4" s="1">
        <v>14.9285943978758</v>
      </c>
      <c r="C4" s="1">
        <v>85.071405602124102</v>
      </c>
    </row>
    <row r="5" spans="1:3">
      <c r="A5" t="s">
        <v>18</v>
      </c>
      <c r="B5" s="1">
        <v>18.514883314704999</v>
      </c>
      <c r="C5" s="1">
        <v>81.485116685294898</v>
      </c>
    </row>
    <row r="6" spans="1:3">
      <c r="A6" t="s">
        <v>14</v>
      </c>
      <c r="B6" s="1">
        <v>18.687542145830299</v>
      </c>
      <c r="C6" s="1">
        <v>81.312457854169693</v>
      </c>
    </row>
    <row r="7" spans="1:3">
      <c r="A7" t="s">
        <v>16</v>
      </c>
      <c r="B7" s="1">
        <v>19.1274727352022</v>
      </c>
      <c r="C7" s="1">
        <v>80.872527264797696</v>
      </c>
    </row>
    <row r="8" spans="1:3">
      <c r="A8" t="s">
        <v>13</v>
      </c>
      <c r="B8" s="1">
        <v>19.5149817545899</v>
      </c>
      <c r="C8" s="1">
        <v>80.485018245410004</v>
      </c>
    </row>
    <row r="9" spans="1:3">
      <c r="A9" t="s">
        <v>17</v>
      </c>
      <c r="B9" s="1">
        <v>21.857180970803199</v>
      </c>
      <c r="C9" s="1">
        <v>78.142819029196701</v>
      </c>
    </row>
    <row r="10" spans="1:3">
      <c r="A10" t="s">
        <v>9</v>
      </c>
      <c r="B10" s="1">
        <v>23.351447835756701</v>
      </c>
      <c r="C10" s="1">
        <v>76.648552164243199</v>
      </c>
    </row>
    <row r="11" spans="1:3">
      <c r="A11" t="s">
        <v>12</v>
      </c>
      <c r="B11" s="1">
        <v>39.934379152896199</v>
      </c>
      <c r="C11" s="1">
        <v>73.296655105286803</v>
      </c>
    </row>
    <row r="12" spans="1:3">
      <c r="A12" t="s">
        <v>15</v>
      </c>
      <c r="B12" s="1">
        <v>28.220681360184301</v>
      </c>
      <c r="C12" s="1">
        <v>71.7793186398156</v>
      </c>
    </row>
    <row r="13" spans="1:3">
      <c r="A13" t="s">
        <v>11</v>
      </c>
      <c r="B13" s="1">
        <v>29.9277728586422</v>
      </c>
      <c r="C13" s="1">
        <v>70.0722271413577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8C07-FB2E-44E1-958E-F338D566B54A}">
  <dimension ref="A1:I13"/>
  <sheetViews>
    <sheetView workbookViewId="0">
      <selection activeCell="B1" sqref="B1:I3"/>
    </sheetView>
  </sheetViews>
  <sheetFormatPr defaultRowHeight="14.4"/>
  <sheetData>
    <row r="1" spans="1:9">
      <c r="B1" t="s">
        <v>2</v>
      </c>
      <c r="D1" t="s">
        <v>3</v>
      </c>
      <c r="F1" t="s">
        <v>21</v>
      </c>
      <c r="H1" t="s">
        <v>5</v>
      </c>
    </row>
    <row r="2" spans="1:9">
      <c r="A2" t="s">
        <v>22</v>
      </c>
      <c r="B2" t="s">
        <v>23</v>
      </c>
      <c r="C2" t="s">
        <v>24</v>
      </c>
      <c r="D2" t="s">
        <v>23</v>
      </c>
      <c r="E2" t="s">
        <v>24</v>
      </c>
      <c r="F2" t="s">
        <v>23</v>
      </c>
      <c r="G2" t="s">
        <v>24</v>
      </c>
      <c r="H2" t="s">
        <v>23</v>
      </c>
      <c r="I2" t="s">
        <v>24</v>
      </c>
    </row>
    <row r="3" spans="1:9">
      <c r="A3" t="s">
        <v>25</v>
      </c>
      <c r="B3" s="2">
        <v>3577.8905263670799</v>
      </c>
      <c r="C3" s="2">
        <v>6163.43341940959</v>
      </c>
      <c r="D3" s="2">
        <v>3109.22505332729</v>
      </c>
      <c r="E3" s="2">
        <v>5475.3697840998202</v>
      </c>
      <c r="F3" s="1">
        <v>25.260850641025598</v>
      </c>
      <c r="G3" s="1">
        <v>43.767224703392202</v>
      </c>
      <c r="H3" s="1">
        <v>74.739149358974302</v>
      </c>
      <c r="I3" s="1">
        <v>43.767224703392202</v>
      </c>
    </row>
    <row r="4" spans="1:9">
      <c r="A4" t="s">
        <v>26</v>
      </c>
      <c r="B4" s="2">
        <v>3141.1366413327501</v>
      </c>
      <c r="C4" s="2">
        <v>5192.2412737701998</v>
      </c>
      <c r="D4" s="2">
        <v>2720.39644476594</v>
      </c>
      <c r="E4" s="2">
        <v>4589.9298692831699</v>
      </c>
      <c r="F4" s="1">
        <v>25.401191025641001</v>
      </c>
      <c r="G4" s="1">
        <v>44.282376087365499</v>
      </c>
      <c r="H4" s="1">
        <v>74.598808974358903</v>
      </c>
      <c r="I4" s="1">
        <v>44.282376087365499</v>
      </c>
    </row>
    <row r="5" spans="1:9">
      <c r="A5" t="s">
        <v>27</v>
      </c>
      <c r="B5" s="2">
        <v>3528.10992832275</v>
      </c>
      <c r="C5" s="2">
        <v>5873.4536394403904</v>
      </c>
      <c r="D5" s="2">
        <v>3084.3246767221999</v>
      </c>
      <c r="E5" s="2">
        <v>5218.4174824132697</v>
      </c>
      <c r="F5" s="1">
        <v>25.498826923076901</v>
      </c>
      <c r="G5" s="1">
        <v>43.898702587680098</v>
      </c>
      <c r="H5" s="1">
        <v>74.501173076922996</v>
      </c>
      <c r="I5" s="1">
        <v>43.898702587680098</v>
      </c>
    </row>
    <row r="6" spans="1:9">
      <c r="A6" t="s">
        <v>28</v>
      </c>
      <c r="B6" s="2">
        <v>3454.0033849332599</v>
      </c>
      <c r="C6" s="2">
        <v>5808.5917363011104</v>
      </c>
      <c r="D6" s="2">
        <v>3023.3742004270298</v>
      </c>
      <c r="E6" s="2">
        <v>5191.9586098488799</v>
      </c>
      <c r="F6" s="1">
        <v>25.544003846153799</v>
      </c>
      <c r="G6" s="1">
        <v>44.038930332737699</v>
      </c>
      <c r="H6" s="1">
        <v>74.455996153846101</v>
      </c>
      <c r="I6" s="1">
        <v>44.038930332737699</v>
      </c>
    </row>
    <row r="7" spans="1:9">
      <c r="A7" t="s">
        <v>29</v>
      </c>
      <c r="B7" s="2">
        <v>3493.95316385766</v>
      </c>
      <c r="C7" s="2">
        <v>6010.8800585502904</v>
      </c>
      <c r="D7" s="2">
        <v>3057.9541163325198</v>
      </c>
      <c r="E7" s="2">
        <v>5359.1782282634904</v>
      </c>
      <c r="F7" s="1">
        <v>25.639675641025601</v>
      </c>
      <c r="G7" s="1">
        <v>43.959308932252398</v>
      </c>
      <c r="H7" s="1">
        <v>74.360324358974296</v>
      </c>
      <c r="I7" s="1">
        <v>43.959308932252398</v>
      </c>
    </row>
    <row r="8" spans="1:9">
      <c r="A8" t="s">
        <v>30</v>
      </c>
      <c r="B8" s="2">
        <v>3140.1000093918901</v>
      </c>
      <c r="C8" s="2">
        <v>5197.9618545123503</v>
      </c>
      <c r="D8" s="2">
        <v>2734.9681436228998</v>
      </c>
      <c r="E8" s="2">
        <v>4617.0495057840199</v>
      </c>
      <c r="F8" s="1">
        <v>25.7287705128205</v>
      </c>
      <c r="G8" s="1">
        <v>44.325956226924802</v>
      </c>
      <c r="H8" s="1">
        <v>74.271229487179397</v>
      </c>
      <c r="I8" s="1">
        <v>44.325956226924802</v>
      </c>
    </row>
    <row r="9" spans="1:9">
      <c r="A9" t="s">
        <v>31</v>
      </c>
      <c r="B9" s="2">
        <v>3173.72</v>
      </c>
      <c r="C9" s="2">
        <v>5239.7732198070298</v>
      </c>
      <c r="D9" s="2">
        <v>2750.21</v>
      </c>
      <c r="E9" s="2">
        <v>4652.3731457209096</v>
      </c>
      <c r="F9" s="1">
        <v>26.023</v>
      </c>
      <c r="G9" s="1">
        <v>44.393402013070499</v>
      </c>
      <c r="H9" s="1">
        <v>74.265305769230693</v>
      </c>
      <c r="I9" s="1">
        <v>44.393402013070499</v>
      </c>
    </row>
    <row r="10" spans="1:9">
      <c r="A10" t="s">
        <v>32</v>
      </c>
      <c r="B10" s="2">
        <v>3631.3936916643302</v>
      </c>
      <c r="C10" s="2">
        <v>7174.94243734254</v>
      </c>
      <c r="D10" s="2">
        <v>3134.4943258547601</v>
      </c>
      <c r="E10" s="2">
        <v>6268.4796016284999</v>
      </c>
      <c r="F10" s="1">
        <v>26.9131166666666</v>
      </c>
      <c r="G10" s="1">
        <v>49.055629835117799</v>
      </c>
      <c r="H10" s="1">
        <v>73.086883333333304</v>
      </c>
      <c r="I10" s="1">
        <v>49.055629835117799</v>
      </c>
    </row>
    <row r="11" spans="1:9">
      <c r="A11" t="s">
        <v>33</v>
      </c>
      <c r="B11" s="2">
        <v>3976.43483529889</v>
      </c>
      <c r="C11" s="2">
        <v>6570.3571873451701</v>
      </c>
      <c r="D11" s="2">
        <v>3493.1712418276602</v>
      </c>
      <c r="E11" s="2">
        <v>5845.3121463552598</v>
      </c>
      <c r="F11" s="1">
        <v>28.220139743589701</v>
      </c>
      <c r="G11" s="1">
        <v>42.320478021351498</v>
      </c>
      <c r="H11" s="1">
        <v>71.779860256410203</v>
      </c>
      <c r="I11" s="1">
        <v>42.320478021351498</v>
      </c>
    </row>
    <row r="12" spans="1:9">
      <c r="A12" t="s">
        <v>34</v>
      </c>
      <c r="B12" s="2">
        <v>4112</v>
      </c>
      <c r="C12" s="2">
        <v>6802</v>
      </c>
      <c r="D12" s="2">
        <v>3586</v>
      </c>
      <c r="E12" s="2">
        <v>6028</v>
      </c>
      <c r="F12" s="1">
        <v>28.51</v>
      </c>
      <c r="G12" s="1">
        <v>41.52</v>
      </c>
      <c r="H12" s="1">
        <v>71.489999999999995</v>
      </c>
      <c r="I12" s="1">
        <v>41.52</v>
      </c>
    </row>
    <row r="13" spans="1:9">
      <c r="A13" t="s">
        <v>35</v>
      </c>
      <c r="B13" s="2">
        <v>4169</v>
      </c>
      <c r="C13" s="2">
        <v>7148</v>
      </c>
      <c r="D13" s="2">
        <v>3652</v>
      </c>
      <c r="E13" s="2">
        <v>6391</v>
      </c>
      <c r="F13" s="1">
        <v>28.75</v>
      </c>
      <c r="G13" s="1">
        <v>41.78</v>
      </c>
      <c r="H13" s="1">
        <v>71.239999999999995</v>
      </c>
      <c r="I13" s="1">
        <v>41.78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38CB-53CE-4395-9C88-A4347A04B025}">
  <dimension ref="A1:D13"/>
  <sheetViews>
    <sheetView workbookViewId="0">
      <selection sqref="A1:D13"/>
    </sheetView>
  </sheetViews>
  <sheetFormatPr defaultRowHeight="14.4"/>
  <cols>
    <col min="1" max="1" width="25.33203125" customWidth="1"/>
  </cols>
  <sheetData>
    <row r="1" spans="1:4">
      <c r="A1" t="s">
        <v>39</v>
      </c>
    </row>
    <row r="2" spans="1:4">
      <c r="A2" t="s">
        <v>7</v>
      </c>
      <c r="B2" t="s">
        <v>36</v>
      </c>
      <c r="C2" t="s">
        <v>37</v>
      </c>
      <c r="D2" t="s">
        <v>38</v>
      </c>
    </row>
    <row r="3" spans="1:4">
      <c r="A3" t="s">
        <v>10</v>
      </c>
      <c r="B3" s="1">
        <v>14.9397421052631</v>
      </c>
      <c r="C3" s="1">
        <v>9.2942168051677108</v>
      </c>
      <c r="D3" s="1">
        <v>85.060257894736793</v>
      </c>
    </row>
    <row r="4" spans="1:4">
      <c r="A4" t="s">
        <v>8</v>
      </c>
      <c r="B4" s="1">
        <v>15.698549999999999</v>
      </c>
      <c r="C4" s="1">
        <v>10.296823852528499</v>
      </c>
      <c r="D4" s="1">
        <v>84.301450000000003</v>
      </c>
    </row>
    <row r="5" spans="1:4">
      <c r="A5" t="s">
        <v>13</v>
      </c>
      <c r="B5" s="1">
        <v>16.8728555555555</v>
      </c>
      <c r="C5" s="1">
        <v>10.283075068870501</v>
      </c>
      <c r="D5" s="1">
        <v>83.127144444444397</v>
      </c>
    </row>
    <row r="6" spans="1:4">
      <c r="A6" t="s">
        <v>18</v>
      </c>
      <c r="B6" s="1">
        <v>20.167375</v>
      </c>
      <c r="C6" s="1">
        <v>10.632872496273</v>
      </c>
      <c r="D6" s="1">
        <v>79.832624999999993</v>
      </c>
    </row>
    <row r="7" spans="1:4">
      <c r="A7" t="s">
        <v>14</v>
      </c>
      <c r="B7" s="1">
        <v>20.239281250000001</v>
      </c>
      <c r="C7" s="1">
        <v>11.027048098182799</v>
      </c>
      <c r="D7" s="1">
        <v>79.760718749999995</v>
      </c>
    </row>
    <row r="8" spans="1:4">
      <c r="A8" t="s">
        <v>16</v>
      </c>
      <c r="B8" s="1">
        <v>22.169499999999999</v>
      </c>
      <c r="C8" s="1">
        <v>14.3561125621631</v>
      </c>
      <c r="D8" s="1">
        <v>77.830500000000001</v>
      </c>
    </row>
    <row r="9" spans="1:4">
      <c r="A9" t="s">
        <v>15</v>
      </c>
      <c r="B9" s="1">
        <v>24.4900285714285</v>
      </c>
      <c r="C9" s="1">
        <v>11.5513887261314</v>
      </c>
      <c r="D9" s="1">
        <v>75.509971428571404</v>
      </c>
    </row>
    <row r="10" spans="1:4">
      <c r="A10" t="s">
        <v>9</v>
      </c>
      <c r="B10" s="1">
        <v>26.282741666666599</v>
      </c>
      <c r="C10" s="1">
        <v>16.095484572979299</v>
      </c>
      <c r="D10" s="1">
        <v>73.717258333333305</v>
      </c>
    </row>
    <row r="11" spans="1:4">
      <c r="A11" t="s">
        <v>11</v>
      </c>
      <c r="B11" s="1">
        <v>43.994511111111102</v>
      </c>
      <c r="C11" s="1">
        <v>11.726827966829299</v>
      </c>
      <c r="D11" s="1">
        <v>56.005488888888799</v>
      </c>
    </row>
    <row r="12" spans="1:4">
      <c r="A12" t="s">
        <v>12</v>
      </c>
      <c r="B12" s="1">
        <v>47.836509090909097</v>
      </c>
      <c r="C12" s="1">
        <v>111.47456161713001</v>
      </c>
      <c r="D12" s="1">
        <v>52.163490909090903</v>
      </c>
    </row>
    <row r="13" spans="1:4">
      <c r="A13" t="s">
        <v>17</v>
      </c>
      <c r="B13" s="1">
        <v>13.8644</v>
      </c>
      <c r="C13" s="1"/>
      <c r="D13" s="1">
        <v>86.135599999999997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Sector_wise</vt:lpstr>
      <vt:lpstr>TFT_O</vt:lpstr>
      <vt:lpstr>TFT_S</vt:lpstr>
      <vt:lpstr>LSTM_O</vt:lpstr>
      <vt:lpstr>LSTM_S</vt:lpstr>
      <vt:lpstr>SARIMA_O</vt:lpstr>
      <vt:lpstr>SARIMA_S</vt:lpstr>
      <vt:lpstr>ARIMA_O</vt:lpstr>
      <vt:lpstr>ARIMA_S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Rockefarmer Wu</dc:creator>
  <cp:lastModifiedBy>Rockefarmer Wu</cp:lastModifiedBy>
  <dcterms:created xsi:type="dcterms:W3CDTF">2025-11-01T14:28:57Z</dcterms:created>
  <dcterms:modified xsi:type="dcterms:W3CDTF">2025-11-04T13:21:13Z</dcterms:modified>
</cp:coreProperties>
</file>